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DF86A632-4562-CF48-A527-265E8514CED9}" xr6:coauthVersionLast="47" xr6:coauthVersionMax="47" xr10:uidLastSave="{00000000-0000-0000-0000-000000000000}"/>
  <bookViews>
    <workbookView xWindow="0" yWindow="0" windowWidth="40960" windowHeight="23040" xr2:uid="{2ED2930A-2686-A443-A0DB-7F9C4DD8C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4" i="1"/>
  <c r="K16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0" i="1"/>
  <c r="K21" i="1"/>
  <c r="K22" i="1"/>
  <c r="K4" i="1"/>
</calcChain>
</file>

<file path=xl/sharedStrings.xml><?xml version="1.0" encoding="utf-8"?>
<sst xmlns="http://schemas.openxmlformats.org/spreadsheetml/2006/main" count="39" uniqueCount="35">
  <si>
    <t xml:space="preserve">Hours Est. </t>
  </si>
  <si>
    <t xml:space="preserve">Cost. </t>
  </si>
  <si>
    <t>Site Visit Communications</t>
  </si>
  <si>
    <t xml:space="preserve">Site visit - Roof/Home Run Inspection </t>
  </si>
  <si>
    <t xml:space="preserve">Inverter Change </t>
  </si>
  <si>
    <t>Inverter Change with initial site visit</t>
  </si>
  <si>
    <t xml:space="preserve">Installation of Critter Guard (less than 20 panels) </t>
  </si>
  <si>
    <t>Critter Guard after additional panels (set if 4)</t>
  </si>
  <si>
    <t>Inverter Commissioning Only</t>
  </si>
  <si>
    <t>Delivery Run up to 100 miles</t>
  </si>
  <si>
    <t>Optimizer/Microinverter Change up to (4)</t>
  </si>
  <si>
    <t xml:space="preserve">Optimizer/Microinverter change Additional </t>
  </si>
  <si>
    <t>Service Type  LABOR</t>
  </si>
  <si>
    <t>TBD</t>
  </si>
  <si>
    <t xml:space="preserve">Reroofing (Per panel) Remove reinstall </t>
  </si>
  <si>
    <t>Site visit - Simple / inspecction / quick review</t>
  </si>
  <si>
    <t>Battery Change - Includes disposal and return</t>
  </si>
  <si>
    <t>Panel Cleaning (base up to 19  panels</t>
  </si>
  <si>
    <t xml:space="preserve">Panel Cleaning additional panel </t>
  </si>
  <si>
    <t>Inverter Change additional in same site</t>
  </si>
  <si>
    <t>LABOR COST</t>
  </si>
  <si>
    <t>Client Payment</t>
  </si>
  <si>
    <t>SE Compensation</t>
  </si>
  <si>
    <t>Price</t>
  </si>
  <si>
    <t>Compensation</t>
  </si>
  <si>
    <t>Parts Cost</t>
  </si>
  <si>
    <t>Miles</t>
  </si>
  <si>
    <t>EV charger installation</t>
  </si>
  <si>
    <t>Profit</t>
  </si>
  <si>
    <t>Power Care</t>
  </si>
  <si>
    <t xml:space="preserve">Power Care </t>
  </si>
  <si>
    <t>Cost</t>
  </si>
  <si>
    <t>Client</t>
  </si>
  <si>
    <t>Powercare</t>
  </si>
  <si>
    <t>Reccuring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</si>
</sst>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44" fontId="0" fillId="0" borderId="4" xfId="1" applyFont="1" applyBorder="1"/>
    <xf numFmtId="0" fontId="2" fillId="2" borderId="9" xfId="0" applyFont="1" applyFill="1" applyBorder="1"/>
    <xf numFmtId="0" fontId="2" fillId="2" borderId="10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0" fontId="0" fillId="2" borderId="6" xfId="0" applyFill="1" applyBorder="1"/>
    <xf numFmtId="0" fontId="0" fillId="2" borderId="7" xfId="0" applyFill="1" applyBorder="1"/>
    <xf numFmtId="44" fontId="0" fillId="2" borderId="8" xfId="1" applyFont="1" applyFill="1" applyBorder="1"/>
    <xf numFmtId="0" fontId="0" fillId="2" borderId="3" xfId="0" applyFill="1" applyBorder="1"/>
    <xf numFmtId="0" fontId="0" fillId="2" borderId="1" xfId="0" applyFill="1" applyBorder="1"/>
    <xf numFmtId="44" fontId="0" fillId="2" borderId="4" xfId="1" applyFont="1" applyFill="1" applyBorder="1"/>
    <xf numFmtId="0" fontId="3" fillId="2" borderId="3" xfId="0" applyFont="1" applyFill="1" applyBorder="1"/>
    <xf numFmtId="0" fontId="3" fillId="2" borderId="15" xfId="0" applyFont="1" applyFill="1" applyBorder="1"/>
    <xf numFmtId="44" fontId="3" fillId="2" borderId="16" xfId="0" applyNumberFormat="1" applyFont="1" applyFill="1" applyBorder="1"/>
    <xf numFmtId="0" fontId="0" fillId="2" borderId="1" xfId="0" applyFill="1" applyBorder="1" applyAlignment="1">
      <alignment horizontal="right"/>
    </xf>
    <xf numFmtId="0" fontId="2" fillId="3" borderId="2" xfId="0" applyFont="1" applyFill="1" applyBorder="1"/>
    <xf numFmtId="0" fontId="2" fillId="3" borderId="11" xfId="0" applyFont="1" applyFill="1" applyBorder="1" applyAlignment="1">
      <alignment horizontal="right"/>
    </xf>
    <xf numFmtId="44" fontId="0" fillId="3" borderId="8" xfId="1" applyFont="1" applyFill="1" applyBorder="1"/>
    <xf numFmtId="44" fontId="0" fillId="3" borderId="4" xfId="1" applyFont="1" applyFill="1" applyBorder="1"/>
    <xf numFmtId="44" fontId="3" fillId="3" borderId="4" xfId="0" applyNumberFormat="1" applyFont="1" applyFill="1" applyBorder="1"/>
    <xf numFmtId="0" fontId="2" fillId="4" borderId="2" xfId="0" applyFont="1" applyFill="1" applyBorder="1"/>
    <xf numFmtId="0" fontId="2" fillId="4" borderId="11" xfId="0" applyFont="1" applyFill="1" applyBorder="1" applyAlignment="1">
      <alignment horizontal="right"/>
    </xf>
    <xf numFmtId="44" fontId="0" fillId="4" borderId="8" xfId="1" applyFont="1" applyFill="1" applyBorder="1"/>
    <xf numFmtId="44" fontId="0" fillId="4" borderId="4" xfId="1" applyFont="1" applyFill="1" applyBorder="1"/>
    <xf numFmtId="6" fontId="0" fillId="4" borderId="4" xfId="1" applyNumberFormat="1" applyFont="1" applyFill="1" applyBorder="1"/>
    <xf numFmtId="44" fontId="3" fillId="4" borderId="4" xfId="0" applyNumberFormat="1" applyFont="1" applyFill="1" applyBorder="1"/>
    <xf numFmtId="44" fontId="0" fillId="4" borderId="5" xfId="1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44" fontId="0" fillId="3" borderId="17" xfId="1" applyFont="1" applyFill="1" applyBorder="1"/>
    <xf numFmtId="44" fontId="0" fillId="0" borderId="0" xfId="1" applyFont="1" applyBorder="1"/>
    <xf numFmtId="0" fontId="6" fillId="6" borderId="0" xfId="0" applyFont="1" applyFill="1"/>
    <xf numFmtId="0" fontId="7" fillId="6" borderId="2" xfId="0" applyFont="1" applyFill="1" applyBorder="1"/>
    <xf numFmtId="0" fontId="7" fillId="6" borderId="11" xfId="0" applyFont="1" applyFill="1" applyBorder="1" applyAlignment="1">
      <alignment horizontal="right"/>
    </xf>
    <xf numFmtId="44" fontId="6" fillId="6" borderId="8" xfId="1" applyFont="1" applyFill="1" applyBorder="1"/>
    <xf numFmtId="44" fontId="6" fillId="6" borderId="4" xfId="1" applyFont="1" applyFill="1" applyBorder="1"/>
    <xf numFmtId="44" fontId="6" fillId="6" borderId="4" xfId="0" applyNumberFormat="1" applyFont="1" applyFill="1" applyBorder="1"/>
    <xf numFmtId="44" fontId="6" fillId="6" borderId="17" xfId="1" applyFont="1" applyFill="1" applyBorder="1"/>
    <xf numFmtId="44" fontId="6" fillId="6" borderId="0" xfId="1" applyFont="1" applyFill="1" applyBorder="1"/>
    <xf numFmtId="0" fontId="5" fillId="5" borderId="0" xfId="0" applyFont="1" applyFill="1"/>
    <xf numFmtId="0" fontId="4" fillId="5" borderId="14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44" fontId="5" fillId="5" borderId="8" xfId="1" applyFont="1" applyFill="1" applyBorder="1"/>
    <xf numFmtId="44" fontId="5" fillId="5" borderId="4" xfId="1" applyFont="1" applyFill="1" applyBorder="1"/>
    <xf numFmtId="44" fontId="5" fillId="5" borderId="4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2587-1280-8841-887F-730BEEAD9B35}">
  <dimension ref="B1:L28"/>
  <sheetViews>
    <sheetView showGridLines="0" tabSelected="1" zoomScale="200" workbookViewId="0">
      <selection activeCell="G24" sqref="G24"/>
    </sheetView>
  </sheetViews>
  <sheetFormatPr baseColWidth="10" defaultRowHeight="16" x14ac:dyDescent="0.2"/>
  <cols>
    <col min="2" max="2" width="41" customWidth="1"/>
    <col min="3" max="3" width="11.1640625" customWidth="1"/>
    <col min="4" max="4" width="10" customWidth="1"/>
    <col min="5" max="5" width="10" style="40" customWidth="1"/>
    <col min="6" max="6" width="13.5" bestFit="1" customWidth="1"/>
    <col min="7" max="7" width="13.5" customWidth="1"/>
    <col min="8" max="9" width="13.5" style="32" customWidth="1"/>
    <col min="10" max="12" width="15.33203125" bestFit="1" customWidth="1"/>
  </cols>
  <sheetData>
    <row r="1" spans="2:12" ht="17" thickBot="1" x14ac:dyDescent="0.25">
      <c r="E1"/>
      <c r="H1"/>
      <c r="I1"/>
    </row>
    <row r="2" spans="2:12" ht="17" thickBot="1" x14ac:dyDescent="0.25">
      <c r="B2" s="27" t="s">
        <v>20</v>
      </c>
      <c r="C2" s="28"/>
      <c r="D2" s="29"/>
      <c r="E2" s="41" t="s">
        <v>25</v>
      </c>
      <c r="F2" s="15" t="s">
        <v>21</v>
      </c>
      <c r="G2" s="15" t="s">
        <v>21</v>
      </c>
      <c r="H2" s="33" t="s">
        <v>30</v>
      </c>
      <c r="I2" s="33" t="s">
        <v>29</v>
      </c>
      <c r="J2" s="20" t="s">
        <v>22</v>
      </c>
      <c r="K2" s="20" t="s">
        <v>28</v>
      </c>
      <c r="L2" s="20" t="s">
        <v>28</v>
      </c>
    </row>
    <row r="3" spans="2:12" ht="17" thickBot="1" x14ac:dyDescent="0.25">
      <c r="B3" s="2" t="s">
        <v>12</v>
      </c>
      <c r="C3" s="3" t="s">
        <v>0</v>
      </c>
      <c r="D3" s="4" t="s">
        <v>1</v>
      </c>
      <c r="E3" s="42"/>
      <c r="F3" s="16" t="s">
        <v>23</v>
      </c>
      <c r="G3" s="16" t="s">
        <v>34</v>
      </c>
      <c r="H3" s="34" t="s">
        <v>31</v>
      </c>
      <c r="I3" s="34" t="s">
        <v>23</v>
      </c>
      <c r="J3" s="21" t="s">
        <v>24</v>
      </c>
      <c r="K3" s="21" t="s">
        <v>32</v>
      </c>
      <c r="L3" s="21" t="s">
        <v>33</v>
      </c>
    </row>
    <row r="4" spans="2:12" x14ac:dyDescent="0.2">
      <c r="B4" s="5" t="s">
        <v>15</v>
      </c>
      <c r="C4" s="6">
        <v>2</v>
      </c>
      <c r="D4" s="7">
        <v>50</v>
      </c>
      <c r="E4" s="43"/>
      <c r="F4" s="17">
        <v>200</v>
      </c>
      <c r="G4" s="17">
        <f>F4*0.9</f>
        <v>180</v>
      </c>
      <c r="H4" s="35">
        <v>50</v>
      </c>
      <c r="I4" s="35">
        <v>290</v>
      </c>
      <c r="J4" s="22"/>
      <c r="K4" s="22">
        <f>F4-D4</f>
        <v>150</v>
      </c>
      <c r="L4" s="22"/>
    </row>
    <row r="5" spans="2:12" x14ac:dyDescent="0.2">
      <c r="B5" s="8" t="s">
        <v>2</v>
      </c>
      <c r="C5" s="9">
        <v>2</v>
      </c>
      <c r="D5" s="10">
        <v>50</v>
      </c>
      <c r="E5" s="44">
        <v>35</v>
      </c>
      <c r="F5" s="18">
        <v>280</v>
      </c>
      <c r="G5" s="17">
        <f t="shared" ref="G5:G22" si="0">F5*0.9</f>
        <v>252</v>
      </c>
      <c r="H5" s="36">
        <v>50</v>
      </c>
      <c r="I5" s="36">
        <v>290</v>
      </c>
      <c r="J5" s="23"/>
      <c r="K5" s="23">
        <f>F5-D5</f>
        <v>230</v>
      </c>
      <c r="L5" s="23"/>
    </row>
    <row r="6" spans="2:12" x14ac:dyDescent="0.2">
      <c r="B6" s="8" t="s">
        <v>3</v>
      </c>
      <c r="C6" s="9">
        <v>2.5</v>
      </c>
      <c r="D6" s="10">
        <v>220</v>
      </c>
      <c r="E6" s="44"/>
      <c r="F6" s="18">
        <v>380</v>
      </c>
      <c r="G6" s="17">
        <f t="shared" si="0"/>
        <v>342</v>
      </c>
      <c r="H6" s="36">
        <v>150</v>
      </c>
      <c r="I6" s="36">
        <v>320</v>
      </c>
      <c r="J6" s="23"/>
      <c r="K6" s="23">
        <f>F6-D6</f>
        <v>160</v>
      </c>
      <c r="L6" s="23"/>
    </row>
    <row r="7" spans="2:12" x14ac:dyDescent="0.2">
      <c r="B7" s="8" t="s">
        <v>4</v>
      </c>
      <c r="C7" s="9">
        <v>3</v>
      </c>
      <c r="D7" s="10">
        <v>300</v>
      </c>
      <c r="E7" s="44"/>
      <c r="F7" s="18">
        <v>750</v>
      </c>
      <c r="G7" s="17">
        <f t="shared" si="0"/>
        <v>675</v>
      </c>
      <c r="H7" s="36">
        <v>200</v>
      </c>
      <c r="I7" s="36">
        <v>430</v>
      </c>
      <c r="J7" s="24">
        <v>175</v>
      </c>
      <c r="K7" s="24">
        <f>F7-D7</f>
        <v>450</v>
      </c>
      <c r="L7" s="24"/>
    </row>
    <row r="8" spans="2:12" x14ac:dyDescent="0.2">
      <c r="B8" s="8" t="s">
        <v>19</v>
      </c>
      <c r="C8" s="9">
        <v>2</v>
      </c>
      <c r="D8" s="10">
        <v>150</v>
      </c>
      <c r="E8" s="44"/>
      <c r="F8" s="18">
        <v>500</v>
      </c>
      <c r="G8" s="17">
        <f t="shared" si="0"/>
        <v>450</v>
      </c>
      <c r="H8" s="36"/>
      <c r="I8" s="36">
        <v>300</v>
      </c>
      <c r="J8" s="23"/>
      <c r="K8" s="23">
        <f>F8-D8</f>
        <v>350</v>
      </c>
      <c r="L8" s="23"/>
    </row>
    <row r="9" spans="2:12" x14ac:dyDescent="0.2">
      <c r="B9" s="8" t="s">
        <v>5</v>
      </c>
      <c r="C9" s="9">
        <v>5</v>
      </c>
      <c r="D9" s="10">
        <v>350</v>
      </c>
      <c r="E9" s="44"/>
      <c r="F9" s="18">
        <v>750</v>
      </c>
      <c r="G9" s="17">
        <f t="shared" si="0"/>
        <v>675</v>
      </c>
      <c r="H9" s="36"/>
      <c r="I9" s="36">
        <v>430</v>
      </c>
      <c r="J9" s="23"/>
      <c r="K9" s="23">
        <f>F9-D9</f>
        <v>400</v>
      </c>
      <c r="L9" s="23"/>
    </row>
    <row r="10" spans="2:12" x14ac:dyDescent="0.2">
      <c r="B10" s="11" t="s">
        <v>8</v>
      </c>
      <c r="C10" s="12">
        <v>2</v>
      </c>
      <c r="D10" s="13">
        <v>150</v>
      </c>
      <c r="E10" s="45"/>
      <c r="F10" s="19">
        <v>550</v>
      </c>
      <c r="G10" s="17">
        <f t="shared" si="0"/>
        <v>495</v>
      </c>
      <c r="H10" s="37">
        <v>150</v>
      </c>
      <c r="I10" s="37">
        <v>290</v>
      </c>
      <c r="J10" s="25"/>
      <c r="K10" s="25">
        <f>F10-D10</f>
        <v>400</v>
      </c>
      <c r="L10" s="25"/>
    </row>
    <row r="11" spans="2:12" x14ac:dyDescent="0.2">
      <c r="B11" s="8" t="s">
        <v>10</v>
      </c>
      <c r="C11" s="9">
        <v>3</v>
      </c>
      <c r="D11" s="10">
        <v>180</v>
      </c>
      <c r="E11" s="44"/>
      <c r="F11" s="18">
        <v>380</v>
      </c>
      <c r="G11" s="17">
        <f t="shared" si="0"/>
        <v>342</v>
      </c>
      <c r="H11" s="36">
        <v>180</v>
      </c>
      <c r="I11" s="36">
        <v>320</v>
      </c>
      <c r="J11" s="24">
        <v>125</v>
      </c>
      <c r="K11" s="24">
        <f>F11-D11</f>
        <v>200</v>
      </c>
      <c r="L11" s="24"/>
    </row>
    <row r="12" spans="2:12" x14ac:dyDescent="0.2">
      <c r="B12" s="8" t="s">
        <v>11</v>
      </c>
      <c r="C12" s="9">
        <v>0.5</v>
      </c>
      <c r="D12" s="10">
        <v>60</v>
      </c>
      <c r="E12" s="44"/>
      <c r="F12" s="18">
        <v>150</v>
      </c>
      <c r="G12" s="17">
        <f t="shared" si="0"/>
        <v>135</v>
      </c>
      <c r="H12" s="36">
        <v>60</v>
      </c>
      <c r="I12" s="36">
        <v>150</v>
      </c>
      <c r="J12" s="24">
        <v>25</v>
      </c>
      <c r="K12" s="24">
        <f>F12-D12</f>
        <v>90</v>
      </c>
      <c r="L12" s="24"/>
    </row>
    <row r="13" spans="2:12" x14ac:dyDescent="0.2">
      <c r="B13" s="8" t="s">
        <v>6</v>
      </c>
      <c r="C13" s="9">
        <v>4</v>
      </c>
      <c r="D13" s="10">
        <v>300</v>
      </c>
      <c r="E13" s="44">
        <v>50</v>
      </c>
      <c r="F13" s="18">
        <v>750</v>
      </c>
      <c r="G13" s="17">
        <f t="shared" si="0"/>
        <v>675</v>
      </c>
      <c r="H13" s="36"/>
      <c r="I13" s="36"/>
      <c r="J13" s="23"/>
      <c r="K13" s="23">
        <f>F13-D13</f>
        <v>450</v>
      </c>
      <c r="L13" s="23"/>
    </row>
    <row r="14" spans="2:12" x14ac:dyDescent="0.2">
      <c r="B14" s="8" t="s">
        <v>7</v>
      </c>
      <c r="C14" s="9">
        <v>0.5</v>
      </c>
      <c r="D14" s="10">
        <v>40</v>
      </c>
      <c r="E14" s="44"/>
      <c r="F14" s="18">
        <v>100</v>
      </c>
      <c r="G14" s="17">
        <f t="shared" si="0"/>
        <v>90</v>
      </c>
      <c r="H14" s="36"/>
      <c r="I14" s="36"/>
      <c r="J14" s="23"/>
      <c r="K14" s="23">
        <f>F14-D14</f>
        <v>60</v>
      </c>
      <c r="L14" s="23"/>
    </row>
    <row r="15" spans="2:12" x14ac:dyDescent="0.2">
      <c r="B15" s="8" t="s">
        <v>9</v>
      </c>
      <c r="C15" s="9">
        <v>2</v>
      </c>
      <c r="D15" s="10">
        <v>60</v>
      </c>
      <c r="E15" s="44"/>
      <c r="F15" s="18"/>
      <c r="G15" s="17">
        <f t="shared" si="0"/>
        <v>0</v>
      </c>
      <c r="H15" s="36"/>
      <c r="I15" s="36"/>
      <c r="J15" s="25"/>
      <c r="K15" s="25">
        <f>F15-D15</f>
        <v>-60</v>
      </c>
      <c r="L15" s="25"/>
    </row>
    <row r="16" spans="2:12" x14ac:dyDescent="0.2">
      <c r="B16" s="8" t="s">
        <v>14</v>
      </c>
      <c r="C16" s="14" t="s">
        <v>13</v>
      </c>
      <c r="D16" s="10">
        <v>100</v>
      </c>
      <c r="E16" s="44">
        <v>70</v>
      </c>
      <c r="F16" s="18">
        <v>280</v>
      </c>
      <c r="G16" s="17">
        <f t="shared" si="0"/>
        <v>252</v>
      </c>
      <c r="H16" s="36"/>
      <c r="I16" s="36"/>
      <c r="J16" s="23"/>
      <c r="K16" s="23">
        <f>F16-D16-E16</f>
        <v>110</v>
      </c>
      <c r="L16" s="23"/>
    </row>
    <row r="17" spans="2:12" x14ac:dyDescent="0.2">
      <c r="B17" s="8" t="s">
        <v>16</v>
      </c>
      <c r="C17" s="9">
        <v>4</v>
      </c>
      <c r="D17" s="10">
        <v>500</v>
      </c>
      <c r="E17" s="44"/>
      <c r="F17" s="18">
        <v>1200</v>
      </c>
      <c r="G17" s="17">
        <f t="shared" si="0"/>
        <v>1080</v>
      </c>
      <c r="H17" s="36">
        <v>450</v>
      </c>
      <c r="I17" s="36">
        <v>770</v>
      </c>
      <c r="J17" s="23"/>
      <c r="K17" s="23">
        <f>F17-D17</f>
        <v>700</v>
      </c>
      <c r="L17" s="23"/>
    </row>
    <row r="18" spans="2:12" x14ac:dyDescent="0.2">
      <c r="B18" s="8" t="s">
        <v>17</v>
      </c>
      <c r="C18" s="9">
        <v>5</v>
      </c>
      <c r="D18" s="10">
        <v>350</v>
      </c>
      <c r="E18" s="44">
        <v>50</v>
      </c>
      <c r="F18" s="18">
        <v>650</v>
      </c>
      <c r="G18" s="17">
        <f t="shared" si="0"/>
        <v>585</v>
      </c>
      <c r="H18" s="36"/>
      <c r="I18" s="36"/>
      <c r="J18" s="23"/>
      <c r="K18" s="23">
        <f>F18-D18</f>
        <v>300</v>
      </c>
      <c r="L18" s="23"/>
    </row>
    <row r="19" spans="2:12" x14ac:dyDescent="0.2">
      <c r="B19" s="8" t="s">
        <v>18</v>
      </c>
      <c r="C19" s="9">
        <v>0.5</v>
      </c>
      <c r="D19" s="10">
        <v>35</v>
      </c>
      <c r="E19" s="44">
        <v>10</v>
      </c>
      <c r="F19" s="18">
        <v>35</v>
      </c>
      <c r="G19" s="17">
        <f t="shared" si="0"/>
        <v>31.5</v>
      </c>
      <c r="H19" s="36"/>
      <c r="I19" s="36"/>
      <c r="J19" s="23"/>
      <c r="K19" s="23">
        <f>F19-D19</f>
        <v>0</v>
      </c>
      <c r="L19" s="23"/>
    </row>
    <row r="20" spans="2:12" x14ac:dyDescent="0.2">
      <c r="B20" s="8" t="s">
        <v>27</v>
      </c>
      <c r="C20" s="14">
        <v>3</v>
      </c>
      <c r="D20" s="10">
        <v>480</v>
      </c>
      <c r="E20" s="44">
        <v>900</v>
      </c>
      <c r="F20" s="18">
        <v>2300</v>
      </c>
      <c r="G20" s="17">
        <f t="shared" si="0"/>
        <v>2070</v>
      </c>
      <c r="H20" s="36"/>
      <c r="I20" s="36"/>
      <c r="J20" s="23"/>
      <c r="K20" s="23">
        <f>F20-D20</f>
        <v>1820</v>
      </c>
      <c r="L20" s="23"/>
    </row>
    <row r="21" spans="2:12" x14ac:dyDescent="0.2">
      <c r="B21" s="8" t="s">
        <v>16</v>
      </c>
      <c r="C21" s="14">
        <v>4</v>
      </c>
      <c r="D21" s="10">
        <v>500</v>
      </c>
      <c r="E21" s="44"/>
      <c r="F21" s="18">
        <v>1000</v>
      </c>
      <c r="G21" s="17">
        <f t="shared" si="0"/>
        <v>900</v>
      </c>
      <c r="H21" s="36"/>
      <c r="I21" s="36">
        <v>770</v>
      </c>
      <c r="J21" s="23"/>
      <c r="K21" s="23">
        <f>F21-D21</f>
        <v>500</v>
      </c>
      <c r="L21" s="23"/>
    </row>
    <row r="22" spans="2:12" x14ac:dyDescent="0.2">
      <c r="B22" s="8" t="s">
        <v>26</v>
      </c>
      <c r="C22" s="9"/>
      <c r="D22" s="10">
        <v>0.54</v>
      </c>
      <c r="E22" s="44"/>
      <c r="F22" s="18">
        <v>40</v>
      </c>
      <c r="G22" s="17">
        <f t="shared" si="0"/>
        <v>36</v>
      </c>
      <c r="H22" s="36"/>
      <c r="I22" s="36">
        <v>0.89</v>
      </c>
      <c r="J22" s="24">
        <v>200</v>
      </c>
      <c r="K22" s="24">
        <f>F22-D22</f>
        <v>39.46</v>
      </c>
      <c r="L22" s="24"/>
    </row>
    <row r="23" spans="2:12" x14ac:dyDescent="0.2">
      <c r="B23" s="8"/>
      <c r="C23" s="9"/>
      <c r="D23" s="10"/>
      <c r="E23" s="44"/>
      <c r="F23" s="18"/>
      <c r="G23" s="18"/>
      <c r="H23" s="36"/>
      <c r="I23" s="36"/>
      <c r="J23" s="23"/>
      <c r="K23" s="23"/>
      <c r="L23" s="23"/>
    </row>
    <row r="24" spans="2:12" x14ac:dyDescent="0.2">
      <c r="B24" s="8"/>
      <c r="C24" s="14"/>
      <c r="D24" s="10"/>
      <c r="E24" s="44"/>
      <c r="F24" s="18"/>
      <c r="G24" s="18"/>
      <c r="H24" s="36"/>
      <c r="I24" s="36"/>
      <c r="J24" s="23"/>
      <c r="K24" s="23"/>
      <c r="L24" s="23"/>
    </row>
    <row r="25" spans="2:12" x14ac:dyDescent="0.2">
      <c r="B25" s="8"/>
      <c r="C25" s="14"/>
      <c r="D25" s="10"/>
      <c r="E25" s="44"/>
      <c r="F25" s="18"/>
      <c r="G25" s="18"/>
      <c r="H25" s="36"/>
      <c r="I25" s="36"/>
      <c r="J25" s="23"/>
      <c r="K25" s="23"/>
      <c r="L25" s="23"/>
    </row>
    <row r="26" spans="2:12" x14ac:dyDescent="0.2">
      <c r="B26" s="8"/>
      <c r="C26" s="9"/>
      <c r="D26" s="10"/>
      <c r="E26" s="44"/>
      <c r="F26" s="18"/>
      <c r="G26" s="18"/>
      <c r="H26" s="36"/>
      <c r="I26" s="36"/>
      <c r="J26" s="23"/>
      <c r="K26" s="23"/>
      <c r="L26" s="23"/>
    </row>
    <row r="27" spans="2:12" ht="17" thickBot="1" x14ac:dyDescent="0.25">
      <c r="B27" s="8"/>
      <c r="C27" s="9"/>
      <c r="D27" s="10"/>
      <c r="E27" s="44"/>
      <c r="F27" s="18"/>
      <c r="G27" s="30"/>
      <c r="H27" s="38"/>
      <c r="I27" s="38"/>
      <c r="J27" s="26"/>
      <c r="K27" s="26"/>
      <c r="L27" s="26"/>
    </row>
    <row r="28" spans="2:12" x14ac:dyDescent="0.2">
      <c r="B28" s="8"/>
      <c r="C28" s="9"/>
      <c r="D28" s="10"/>
      <c r="E28" s="44"/>
      <c r="F28" s="1"/>
      <c r="G28" s="31"/>
      <c r="H28" s="39"/>
      <c r="I28" s="39"/>
    </row>
  </sheetData>
  <mergeCells count="1">
    <mergeCell ref="B2:D2"/>
  </mergeCells>
  <pageMargins left="0.7" right="0.7" top="0.75" bottom="0.75" header="0.3" footer="0.3"/>
  <ignoredErrors>
    <ignoredError sqref="K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Jurado</dc:creator>
  <cp:lastModifiedBy>Mac</cp:lastModifiedBy>
  <dcterms:created xsi:type="dcterms:W3CDTF">2026-02-10T19:08:57Z</dcterms:created>
  <dcterms:modified xsi:type="dcterms:W3CDTF">2026-02-23T16:17:38Z</dcterms:modified>
</cp:coreProperties>
</file>